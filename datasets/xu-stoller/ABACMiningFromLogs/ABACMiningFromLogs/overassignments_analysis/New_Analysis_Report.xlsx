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New_Analysis_Report" sheetId="1" r:id="rId1"/>
  </sheets>
  <calcPr calcId="124519"/>
</workbook>
</file>

<file path=xl/calcChain.xml><?xml version="1.0" encoding="utf-8"?>
<calcChain xmlns="http://schemas.openxmlformats.org/spreadsheetml/2006/main">
  <c r="AA52" i="1"/>
  <c r="AA50"/>
  <c r="AA38"/>
  <c r="AA36"/>
  <c r="AA10"/>
  <c r="AA9"/>
  <c r="AA5"/>
  <c r="AA12"/>
  <c r="AA8"/>
  <c r="AA4"/>
  <c r="AA17"/>
  <c r="AA18"/>
  <c r="AA19"/>
  <c r="AA20"/>
  <c r="AA21"/>
  <c r="AA22"/>
  <c r="AA23"/>
  <c r="AA24"/>
  <c r="AA25"/>
  <c r="AA26"/>
  <c r="AA27"/>
  <c r="AA3"/>
  <c r="AA6"/>
  <c r="AA7"/>
  <c r="AA11"/>
  <c r="AA13"/>
</calcChain>
</file>

<file path=xl/sharedStrings.xml><?xml version="1.0" encoding="utf-8"?>
<sst xmlns="http://schemas.openxmlformats.org/spreadsheetml/2006/main" count="156" uniqueCount="23">
  <si>
    <t>OverAssign</t>
  </si>
  <si>
    <t>projmg</t>
  </si>
  <si>
    <t>univ</t>
  </si>
  <si>
    <t>health</t>
  </si>
  <si>
    <t>SUM</t>
  </si>
  <si>
    <t>Q_RELATIVE_TO_COVERED:</t>
  </si>
  <si>
    <t>Q_RELATIVE_TO_MEANING:</t>
  </si>
  <si>
    <t>Q_RELATIVE_TO_UP0:</t>
  </si>
  <si>
    <t>Q_RELATIVE_TO_PERMISSIONS:</t>
  </si>
  <si>
    <t>Q_RELATIVE_TO_SIZE_AND_PERMISSIONS:</t>
  </si>
  <si>
    <t>Q_PROGOL:</t>
  </si>
  <si>
    <t>Q_RELATIVE_TO_COVERED_FREQ:</t>
  </si>
  <si>
    <t>Q_RELATIVE_TO_MEANING_FREQ:</t>
  </si>
  <si>
    <t>Q_RELATIVE_TO_UP0_FREQ:</t>
  </si>
  <si>
    <t>Q_RELATIVE_TO_PERMISSIONS_FREQ:</t>
  </si>
  <si>
    <t>Q_RELATIVE_TO_SIZE_AND_PERMISSIONS_FREQ:</t>
  </si>
  <si>
    <t>UnderAssign</t>
  </si>
  <si>
    <t>sum of 10 testcases for each data point</t>
  </si>
  <si>
    <t>onlinevideo</t>
  </si>
  <si>
    <t>synthetic</t>
  </si>
  <si>
    <t>w_o = 50 * c – 15</t>
  </si>
  <si>
    <t xml:space="preserve">w_o = 30 * c </t>
  </si>
  <si>
    <t>Weighted Quality Metric Used for above results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</si>
</sst>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1F497D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0" fillId="33" borderId="0" xfId="0" applyFill="1"/>
    <xf numFmtId="0" fontId="0" fillId="34" borderId="0" xfId="0" applyFill="1"/>
    <xf numFmtId="0" fontId="19" fillId="0" borderId="0" xfId="0" applyFont="1"/>
    <xf numFmtId="0" fontId="18" fillId="34" borderId="11" xfId="0" applyFont="1" applyFill="1" applyBorder="1"/>
    <xf numFmtId="0" fontId="18" fillId="34" borderId="12" xfId="0" applyFont="1" applyFill="1" applyBorder="1"/>
    <xf numFmtId="0" fontId="18" fillId="34" borderId="13" xfId="0" applyFont="1" applyFill="1" applyBorder="1"/>
    <xf numFmtId="0" fontId="0" fillId="34" borderId="14" xfId="0" applyFill="1" applyBorder="1"/>
    <xf numFmtId="0" fontId="0" fillId="34" borderId="0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8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18" fillId="34" borderId="0" xfId="0" applyFont="1" applyFill="1" applyAlignment="1">
      <alignment horizontal="center"/>
    </xf>
    <xf numFmtId="0" fontId="16" fillId="33" borderId="19" xfId="0" applyFont="1" applyFill="1" applyBorder="1"/>
    <xf numFmtId="0" fontId="0" fillId="33" borderId="20" xfId="0" applyFill="1" applyBorder="1"/>
    <xf numFmtId="0" fontId="0" fillId="33" borderId="21" xfId="0" applyFill="1" applyBorder="1"/>
    <xf numFmtId="0" fontId="0" fillId="34" borderId="10" xfId="0" applyFill="1" applyBorder="1"/>
    <xf numFmtId="0" fontId="18" fillId="34" borderId="22" xfId="0" applyFont="1" applyFill="1" applyBorder="1"/>
    <xf numFmtId="0" fontId="18" fillId="34" borderId="23" xfId="0" applyFont="1" applyFill="1" applyBorder="1"/>
    <xf numFmtId="0" fontId="18" fillId="34" borderId="24" xfId="0" applyFont="1" applyFill="1" applyBorder="1"/>
    <xf numFmtId="0" fontId="16" fillId="34" borderId="19" xfId="0" applyFont="1" applyFill="1" applyBorder="1"/>
    <xf numFmtId="0" fontId="16" fillId="34" borderId="20" xfId="0" applyFont="1" applyFill="1" applyBorder="1"/>
    <xf numFmtId="0" fontId="16" fillId="34" borderId="21" xfId="0" applyFont="1" applyFill="1" applyBorder="1"/>
    <xf numFmtId="0" fontId="20" fillId="0" borderId="0" xfId="0" applyFont="1"/>
    <xf numFmtId="0" fontId="0" fillId="35" borderId="0" xfId="0" applyFill="1"/>
    <xf numFmtId="0" fontId="21" fillId="0" borderId="0" xfId="0" applyFont="1"/>
    <xf numFmtId="0" fontId="0" fillId="36" borderId="14" xfId="0" applyFill="1" applyBorder="1"/>
    <xf numFmtId="0" fontId="0" fillId="36" borderId="0" xfId="0" applyFill="1" applyBorder="1"/>
    <xf numFmtId="0" fontId="0" fillId="36" borderId="15" xfId="0" applyFill="1" applyBorder="1"/>
    <xf numFmtId="0" fontId="16" fillId="36" borderId="20" xfId="0" applyFont="1" applyFill="1" applyBorder="1"/>
    <xf numFmtId="0" fontId="0" fillId="36" borderId="10" xfId="0" applyFill="1" applyBorder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1"/>
  <sheetViews>
    <sheetView tabSelected="1" workbookViewId="0">
      <selection activeCell="J52" sqref="J52"/>
    </sheetView>
  </sheetViews>
  <sheetFormatPr defaultRowHeight="15"/>
  <cols>
    <col min="1" max="1" width="51.7109375" customWidth="1"/>
    <col min="5" max="5" width="12" customWidth="1"/>
    <col min="6" max="6" width="13.28515625" customWidth="1"/>
    <col min="8" max="8" width="9.42578125" customWidth="1"/>
    <col min="10" max="10" width="12.85546875" customWidth="1"/>
    <col min="11" max="11" width="11.85546875" customWidth="1"/>
    <col min="15" max="15" width="15.7109375" customWidth="1"/>
    <col min="20" max="20" width="13.28515625" customWidth="1"/>
    <col min="21" max="21" width="13.42578125" customWidth="1"/>
    <col min="25" max="25" width="14.7109375" customWidth="1"/>
  </cols>
  <sheetData>
    <row r="1" spans="1:27">
      <c r="B1" s="35">
        <v>0.6</v>
      </c>
      <c r="C1" s="35"/>
      <c r="D1" s="35"/>
      <c r="E1" s="35"/>
      <c r="F1" s="35"/>
      <c r="G1" s="35">
        <v>0.7</v>
      </c>
      <c r="H1" s="35"/>
      <c r="I1" s="35"/>
      <c r="J1" s="35"/>
      <c r="K1" s="35"/>
      <c r="L1" s="35">
        <v>0.8</v>
      </c>
      <c r="M1" s="35"/>
      <c r="N1" s="35"/>
      <c r="O1" s="35"/>
      <c r="P1" s="3"/>
      <c r="Q1" s="35">
        <v>0.9</v>
      </c>
      <c r="R1" s="35"/>
      <c r="S1" s="35"/>
      <c r="T1" s="35"/>
      <c r="U1" s="35"/>
      <c r="V1" s="35">
        <v>1</v>
      </c>
      <c r="W1" s="35"/>
      <c r="X1" s="35"/>
      <c r="Y1" s="35"/>
      <c r="Z1" s="35"/>
    </row>
    <row r="2" spans="1:27">
      <c r="A2" s="17" t="s">
        <v>0</v>
      </c>
      <c r="B2" s="21" t="s">
        <v>1</v>
      </c>
      <c r="C2" s="22" t="s">
        <v>2</v>
      </c>
      <c r="D2" s="22" t="s">
        <v>3</v>
      </c>
      <c r="E2" s="22" t="s">
        <v>18</v>
      </c>
      <c r="F2" s="23" t="s">
        <v>19</v>
      </c>
      <c r="G2" s="21" t="s">
        <v>1</v>
      </c>
      <c r="H2" s="22" t="s">
        <v>2</v>
      </c>
      <c r="I2" s="22" t="s">
        <v>3</v>
      </c>
      <c r="J2" s="22" t="s">
        <v>18</v>
      </c>
      <c r="K2" s="23" t="s">
        <v>19</v>
      </c>
      <c r="L2" s="21" t="s">
        <v>1</v>
      </c>
      <c r="M2" s="22" t="s">
        <v>2</v>
      </c>
      <c r="N2" s="22" t="s">
        <v>3</v>
      </c>
      <c r="O2" s="22" t="s">
        <v>18</v>
      </c>
      <c r="P2" s="23" t="s">
        <v>19</v>
      </c>
      <c r="Q2" s="21" t="s">
        <v>1</v>
      </c>
      <c r="R2" s="22" t="s">
        <v>2</v>
      </c>
      <c r="S2" s="22" t="s">
        <v>3</v>
      </c>
      <c r="T2" s="22" t="s">
        <v>18</v>
      </c>
      <c r="U2" s="23" t="s">
        <v>19</v>
      </c>
      <c r="V2" s="21" t="s">
        <v>1</v>
      </c>
      <c r="W2" s="22" t="s">
        <v>2</v>
      </c>
      <c r="X2" s="22" t="s">
        <v>3</v>
      </c>
      <c r="Y2" s="22" t="s">
        <v>18</v>
      </c>
      <c r="Z2" s="23" t="s">
        <v>19</v>
      </c>
      <c r="AA2" s="16" t="s">
        <v>4</v>
      </c>
    </row>
    <row r="3" spans="1:27">
      <c r="A3" s="18" t="s">
        <v>5</v>
      </c>
      <c r="B3" s="7">
        <v>4</v>
      </c>
      <c r="C3" s="8">
        <v>0</v>
      </c>
      <c r="D3" s="8">
        <v>0</v>
      </c>
      <c r="E3" s="8">
        <v>0</v>
      </c>
      <c r="F3" s="9">
        <v>52</v>
      </c>
      <c r="G3" s="7">
        <v>2</v>
      </c>
      <c r="H3" s="8">
        <v>2</v>
      </c>
      <c r="I3" s="8">
        <v>0</v>
      </c>
      <c r="J3" s="8">
        <v>0</v>
      </c>
      <c r="K3" s="9">
        <v>27</v>
      </c>
      <c r="L3" s="7">
        <v>0</v>
      </c>
      <c r="M3" s="8">
        <v>2</v>
      </c>
      <c r="N3" s="8">
        <v>0</v>
      </c>
      <c r="O3" s="8">
        <v>0</v>
      </c>
      <c r="P3" s="9">
        <v>85</v>
      </c>
      <c r="Q3" s="7">
        <v>0</v>
      </c>
      <c r="R3" s="8">
        <v>0</v>
      </c>
      <c r="S3" s="8">
        <v>0</v>
      </c>
      <c r="T3" s="8">
        <v>0</v>
      </c>
      <c r="U3" s="9">
        <v>77</v>
      </c>
      <c r="V3" s="7">
        <v>0</v>
      </c>
      <c r="W3" s="8">
        <v>0</v>
      </c>
      <c r="X3" s="8">
        <v>0</v>
      </c>
      <c r="Y3" s="8">
        <v>0</v>
      </c>
      <c r="Z3" s="9">
        <v>54</v>
      </c>
      <c r="AA3" s="24">
        <f t="shared" ref="AA3:AA13" si="0">SUM(B3:Z3)</f>
        <v>305</v>
      </c>
    </row>
    <row r="4" spans="1:27">
      <c r="A4" s="18" t="s">
        <v>6</v>
      </c>
      <c r="B4" s="7">
        <v>26</v>
      </c>
      <c r="C4" s="8">
        <v>5</v>
      </c>
      <c r="D4" s="8">
        <v>0</v>
      </c>
      <c r="E4" s="8">
        <v>0</v>
      </c>
      <c r="F4" s="9">
        <v>1070</v>
      </c>
      <c r="G4" s="7">
        <v>2</v>
      </c>
      <c r="H4" s="8">
        <v>0</v>
      </c>
      <c r="I4" s="8">
        <v>0</v>
      </c>
      <c r="J4" s="8">
        <v>0</v>
      </c>
      <c r="K4" s="9">
        <v>339</v>
      </c>
      <c r="L4" s="7">
        <v>0</v>
      </c>
      <c r="M4" s="8">
        <v>2</v>
      </c>
      <c r="N4" s="8">
        <v>0</v>
      </c>
      <c r="O4" s="8">
        <v>0</v>
      </c>
      <c r="P4" s="9">
        <v>163</v>
      </c>
      <c r="Q4" s="7">
        <v>0</v>
      </c>
      <c r="R4" s="8">
        <v>0</v>
      </c>
      <c r="S4" s="8">
        <v>0</v>
      </c>
      <c r="T4" s="8">
        <v>0</v>
      </c>
      <c r="U4" s="9">
        <v>120</v>
      </c>
      <c r="V4" s="7">
        <v>0</v>
      </c>
      <c r="W4" s="8">
        <v>0</v>
      </c>
      <c r="X4" s="8">
        <v>0</v>
      </c>
      <c r="Y4" s="8">
        <v>0</v>
      </c>
      <c r="Z4" s="9">
        <v>175</v>
      </c>
      <c r="AA4" s="25">
        <f t="shared" si="0"/>
        <v>1902</v>
      </c>
    </row>
    <row r="5" spans="1:27">
      <c r="A5" s="18" t="s">
        <v>7</v>
      </c>
      <c r="B5" s="7">
        <v>541</v>
      </c>
      <c r="C5" s="8">
        <v>6</v>
      </c>
      <c r="D5" s="8">
        <v>118</v>
      </c>
      <c r="E5" s="8">
        <v>0</v>
      </c>
      <c r="F5" s="9">
        <v>6249</v>
      </c>
      <c r="G5" s="7">
        <v>598</v>
      </c>
      <c r="H5" s="8">
        <v>6</v>
      </c>
      <c r="I5" s="8">
        <v>108</v>
      </c>
      <c r="J5" s="8">
        <v>0</v>
      </c>
      <c r="K5" s="9">
        <v>6327</v>
      </c>
      <c r="L5" s="7">
        <v>576</v>
      </c>
      <c r="M5" s="8">
        <v>0</v>
      </c>
      <c r="N5" s="8">
        <v>100</v>
      </c>
      <c r="O5" s="8">
        <v>0</v>
      </c>
      <c r="P5" s="9">
        <v>4534</v>
      </c>
      <c r="Q5" s="7">
        <v>558</v>
      </c>
      <c r="R5" s="8">
        <v>0</v>
      </c>
      <c r="S5" s="8">
        <v>100</v>
      </c>
      <c r="T5" s="8">
        <v>0</v>
      </c>
      <c r="U5" s="9">
        <v>6031</v>
      </c>
      <c r="V5" s="7">
        <v>240</v>
      </c>
      <c r="W5" s="8">
        <v>60</v>
      </c>
      <c r="X5" s="8">
        <v>100</v>
      </c>
      <c r="Y5" s="8">
        <v>0</v>
      </c>
      <c r="Z5" s="9">
        <v>5052</v>
      </c>
      <c r="AA5" s="25">
        <f t="shared" si="0"/>
        <v>31304</v>
      </c>
    </row>
    <row r="6" spans="1:27">
      <c r="A6" s="18" t="s">
        <v>8</v>
      </c>
      <c r="B6" s="7">
        <v>16</v>
      </c>
      <c r="C6" s="8">
        <v>1</v>
      </c>
      <c r="D6" s="8">
        <v>0</v>
      </c>
      <c r="E6" s="8">
        <v>0</v>
      </c>
      <c r="F6" s="9">
        <v>1618</v>
      </c>
      <c r="G6" s="7">
        <v>5</v>
      </c>
      <c r="H6" s="8">
        <v>0</v>
      </c>
      <c r="I6" s="8">
        <v>0</v>
      </c>
      <c r="J6" s="8">
        <v>0</v>
      </c>
      <c r="K6" s="9">
        <v>1226</v>
      </c>
      <c r="L6" s="7">
        <v>3</v>
      </c>
      <c r="M6" s="8">
        <v>0</v>
      </c>
      <c r="N6" s="8">
        <v>0</v>
      </c>
      <c r="O6" s="8">
        <v>0</v>
      </c>
      <c r="P6" s="9">
        <v>1144</v>
      </c>
      <c r="Q6" s="7">
        <v>0</v>
      </c>
      <c r="R6" s="8">
        <v>0</v>
      </c>
      <c r="S6" s="8">
        <v>0</v>
      </c>
      <c r="T6" s="8">
        <v>0</v>
      </c>
      <c r="U6" s="9">
        <v>1396</v>
      </c>
      <c r="V6" s="7">
        <v>0</v>
      </c>
      <c r="W6" s="8">
        <v>0</v>
      </c>
      <c r="X6" s="8">
        <v>0</v>
      </c>
      <c r="Y6" s="8">
        <v>0</v>
      </c>
      <c r="Z6" s="9">
        <v>1231</v>
      </c>
      <c r="AA6" s="25">
        <f t="shared" si="0"/>
        <v>6640</v>
      </c>
    </row>
    <row r="7" spans="1:27">
      <c r="A7" s="18" t="s">
        <v>9</v>
      </c>
      <c r="B7" s="7">
        <v>2</v>
      </c>
      <c r="C7" s="8">
        <v>0</v>
      </c>
      <c r="D7" s="8">
        <v>0</v>
      </c>
      <c r="E7" s="8">
        <v>0</v>
      </c>
      <c r="F7" s="9">
        <v>129</v>
      </c>
      <c r="G7" s="7">
        <v>4</v>
      </c>
      <c r="H7" s="8">
        <v>2</v>
      </c>
      <c r="I7" s="8">
        <v>0</v>
      </c>
      <c r="J7" s="8">
        <v>0</v>
      </c>
      <c r="K7" s="9">
        <v>332</v>
      </c>
      <c r="L7" s="7">
        <v>18</v>
      </c>
      <c r="M7" s="8">
        <v>7</v>
      </c>
      <c r="N7" s="8">
        <v>0</v>
      </c>
      <c r="O7" s="8">
        <v>0</v>
      </c>
      <c r="P7" s="9">
        <v>711</v>
      </c>
      <c r="Q7" s="7">
        <v>86</v>
      </c>
      <c r="R7" s="8">
        <v>3</v>
      </c>
      <c r="S7" s="8">
        <v>0</v>
      </c>
      <c r="T7" s="8">
        <v>0</v>
      </c>
      <c r="U7" s="9">
        <v>1197</v>
      </c>
      <c r="V7" s="7">
        <v>0</v>
      </c>
      <c r="W7" s="8">
        <v>10</v>
      </c>
      <c r="X7" s="8">
        <v>0</v>
      </c>
      <c r="Y7" s="8">
        <v>0</v>
      </c>
      <c r="Z7" s="9">
        <v>1353</v>
      </c>
      <c r="AA7" s="25">
        <f t="shared" si="0"/>
        <v>3854</v>
      </c>
    </row>
    <row r="8" spans="1:27">
      <c r="A8" s="18" t="s">
        <v>10</v>
      </c>
      <c r="B8" s="7">
        <v>9727</v>
      </c>
      <c r="C8" s="8">
        <v>448</v>
      </c>
      <c r="D8" s="8">
        <v>198</v>
      </c>
      <c r="E8" s="8">
        <v>0</v>
      </c>
      <c r="F8" s="9">
        <v>32212</v>
      </c>
      <c r="G8" s="7">
        <v>288</v>
      </c>
      <c r="H8" s="8">
        <v>3690</v>
      </c>
      <c r="I8" s="8">
        <v>5216</v>
      </c>
      <c r="J8" s="8">
        <v>0</v>
      </c>
      <c r="K8" s="9">
        <v>59155</v>
      </c>
      <c r="L8" s="7">
        <v>8470</v>
      </c>
      <c r="M8" s="8">
        <v>460</v>
      </c>
      <c r="N8" s="8">
        <v>180</v>
      </c>
      <c r="O8" s="8">
        <v>0</v>
      </c>
      <c r="P8" s="9">
        <v>51247</v>
      </c>
      <c r="Q8" s="7">
        <v>292</v>
      </c>
      <c r="R8" s="8">
        <v>3690</v>
      </c>
      <c r="S8" s="8">
        <v>5770</v>
      </c>
      <c r="T8" s="8">
        <v>0</v>
      </c>
      <c r="U8" s="9">
        <v>60044</v>
      </c>
      <c r="V8" s="7">
        <v>210</v>
      </c>
      <c r="W8" s="8">
        <v>460</v>
      </c>
      <c r="X8" s="8">
        <v>5800</v>
      </c>
      <c r="Y8" s="8">
        <v>0</v>
      </c>
      <c r="Z8" s="9">
        <v>83132</v>
      </c>
      <c r="AA8" s="25">
        <f t="shared" si="0"/>
        <v>330689</v>
      </c>
    </row>
    <row r="9" spans="1:27">
      <c r="A9" s="18" t="s">
        <v>11</v>
      </c>
      <c r="B9" s="7">
        <v>0</v>
      </c>
      <c r="C9" s="8">
        <v>0</v>
      </c>
      <c r="D9" s="8">
        <v>0</v>
      </c>
      <c r="E9" s="8">
        <v>0</v>
      </c>
      <c r="F9" s="9">
        <v>0</v>
      </c>
      <c r="G9" s="7">
        <v>0</v>
      </c>
      <c r="H9" s="8">
        <v>0</v>
      </c>
      <c r="I9" s="8">
        <v>0</v>
      </c>
      <c r="J9" s="8">
        <v>0</v>
      </c>
      <c r="K9" s="9">
        <v>0</v>
      </c>
      <c r="L9" s="7">
        <v>0</v>
      </c>
      <c r="M9" s="8">
        <v>0</v>
      </c>
      <c r="N9" s="8">
        <v>0</v>
      </c>
      <c r="O9" s="8">
        <v>0</v>
      </c>
      <c r="P9" s="9">
        <v>103</v>
      </c>
      <c r="Q9" s="7">
        <v>0</v>
      </c>
      <c r="R9" s="8">
        <v>0</v>
      </c>
      <c r="S9" s="8">
        <v>0</v>
      </c>
      <c r="T9" s="8">
        <v>0</v>
      </c>
      <c r="U9" s="9">
        <v>0</v>
      </c>
      <c r="V9" s="7">
        <v>0</v>
      </c>
      <c r="W9" s="8">
        <v>0</v>
      </c>
      <c r="X9" s="8">
        <v>0</v>
      </c>
      <c r="Y9" s="8">
        <v>0</v>
      </c>
      <c r="Z9" s="9">
        <v>0</v>
      </c>
      <c r="AA9" s="25">
        <f t="shared" si="0"/>
        <v>103</v>
      </c>
    </row>
    <row r="10" spans="1:27">
      <c r="A10" s="18" t="s">
        <v>12</v>
      </c>
      <c r="B10" s="7">
        <v>31</v>
      </c>
      <c r="C10" s="8">
        <v>1</v>
      </c>
      <c r="D10" s="8">
        <v>0</v>
      </c>
      <c r="E10" s="8">
        <v>0</v>
      </c>
      <c r="F10" s="9">
        <v>1583</v>
      </c>
      <c r="G10" s="7">
        <v>0</v>
      </c>
      <c r="H10" s="8">
        <v>0</v>
      </c>
      <c r="I10" s="8">
        <v>0</v>
      </c>
      <c r="J10" s="8">
        <v>0</v>
      </c>
      <c r="K10" s="9">
        <v>535</v>
      </c>
      <c r="L10" s="7">
        <v>8</v>
      </c>
      <c r="M10" s="8">
        <v>0</v>
      </c>
      <c r="N10" s="8">
        <v>0</v>
      </c>
      <c r="O10" s="8">
        <v>0</v>
      </c>
      <c r="P10" s="9">
        <v>301</v>
      </c>
      <c r="Q10" s="7">
        <v>0</v>
      </c>
      <c r="R10" s="8">
        <v>0</v>
      </c>
      <c r="S10" s="8">
        <v>0</v>
      </c>
      <c r="T10" s="8">
        <v>0</v>
      </c>
      <c r="U10" s="9">
        <v>287</v>
      </c>
      <c r="V10" s="7">
        <v>0</v>
      </c>
      <c r="W10" s="8">
        <v>0</v>
      </c>
      <c r="X10" s="8">
        <v>0</v>
      </c>
      <c r="Y10" s="8">
        <v>0</v>
      </c>
      <c r="Z10" s="9">
        <v>299</v>
      </c>
      <c r="AA10" s="25">
        <f t="shared" si="0"/>
        <v>3045</v>
      </c>
    </row>
    <row r="11" spans="1:27">
      <c r="A11" s="18" t="s">
        <v>13</v>
      </c>
      <c r="B11" s="7">
        <v>525</v>
      </c>
      <c r="C11" s="8">
        <v>48</v>
      </c>
      <c r="D11" s="8">
        <v>118</v>
      </c>
      <c r="E11" s="8">
        <v>0</v>
      </c>
      <c r="F11" s="9">
        <v>6228</v>
      </c>
      <c r="G11" s="7">
        <v>145</v>
      </c>
      <c r="H11" s="8">
        <v>6</v>
      </c>
      <c r="I11" s="8">
        <v>60</v>
      </c>
      <c r="J11" s="8">
        <v>0</v>
      </c>
      <c r="K11" s="9">
        <v>6484</v>
      </c>
      <c r="L11" s="7">
        <v>344</v>
      </c>
      <c r="M11" s="8">
        <v>0</v>
      </c>
      <c r="N11" s="8">
        <v>40</v>
      </c>
      <c r="O11" s="8">
        <v>0</v>
      </c>
      <c r="P11" s="9">
        <v>4930</v>
      </c>
      <c r="Q11" s="7">
        <v>119</v>
      </c>
      <c r="R11" s="8">
        <v>0</v>
      </c>
      <c r="S11" s="8">
        <v>92</v>
      </c>
      <c r="T11" s="8">
        <v>0</v>
      </c>
      <c r="U11" s="9">
        <v>6133</v>
      </c>
      <c r="V11" s="7">
        <v>0</v>
      </c>
      <c r="W11" s="8">
        <v>0</v>
      </c>
      <c r="X11" s="8">
        <v>90</v>
      </c>
      <c r="Y11" s="8">
        <v>0</v>
      </c>
      <c r="Z11" s="9">
        <v>5709</v>
      </c>
      <c r="AA11" s="25">
        <f t="shared" si="0"/>
        <v>31071</v>
      </c>
    </row>
    <row r="12" spans="1:27">
      <c r="A12" s="18" t="s">
        <v>14</v>
      </c>
      <c r="B12" s="7">
        <v>18</v>
      </c>
      <c r="C12" s="8">
        <v>1</v>
      </c>
      <c r="D12" s="8">
        <v>0</v>
      </c>
      <c r="E12" s="8">
        <v>0</v>
      </c>
      <c r="F12" s="9">
        <v>1834</v>
      </c>
      <c r="G12" s="7">
        <v>0</v>
      </c>
      <c r="H12" s="8">
        <v>0</v>
      </c>
      <c r="I12" s="8">
        <v>0</v>
      </c>
      <c r="J12" s="8">
        <v>0</v>
      </c>
      <c r="K12" s="9">
        <v>1389</v>
      </c>
      <c r="L12" s="7">
        <v>28</v>
      </c>
      <c r="M12" s="8">
        <v>0</v>
      </c>
      <c r="N12" s="8">
        <v>0</v>
      </c>
      <c r="O12" s="8">
        <v>0</v>
      </c>
      <c r="P12" s="9">
        <v>1138</v>
      </c>
      <c r="Q12" s="7">
        <v>0</v>
      </c>
      <c r="R12" s="8">
        <v>0</v>
      </c>
      <c r="S12" s="8">
        <v>0</v>
      </c>
      <c r="T12" s="8">
        <v>0</v>
      </c>
      <c r="U12" s="9">
        <v>1441</v>
      </c>
      <c r="V12" s="7">
        <v>0</v>
      </c>
      <c r="W12" s="8">
        <v>0</v>
      </c>
      <c r="X12" s="8">
        <v>0</v>
      </c>
      <c r="Y12" s="8">
        <v>0</v>
      </c>
      <c r="Z12" s="9">
        <v>1293</v>
      </c>
      <c r="AA12" s="25">
        <f t="shared" si="0"/>
        <v>7142</v>
      </c>
    </row>
    <row r="13" spans="1:27">
      <c r="A13" s="19" t="s">
        <v>15</v>
      </c>
      <c r="B13" s="10">
        <v>0</v>
      </c>
      <c r="C13" s="11">
        <v>0</v>
      </c>
      <c r="D13" s="11">
        <v>0</v>
      </c>
      <c r="E13" s="11">
        <v>0</v>
      </c>
      <c r="F13" s="12">
        <v>0</v>
      </c>
      <c r="G13" s="10">
        <v>0</v>
      </c>
      <c r="H13" s="11">
        <v>0</v>
      </c>
      <c r="I13" s="11">
        <v>0</v>
      </c>
      <c r="J13" s="11">
        <v>0</v>
      </c>
      <c r="K13" s="12">
        <v>0</v>
      </c>
      <c r="L13" s="10">
        <v>0</v>
      </c>
      <c r="M13" s="11">
        <v>0</v>
      </c>
      <c r="N13" s="11">
        <v>0</v>
      </c>
      <c r="O13" s="11">
        <v>0</v>
      </c>
      <c r="P13" s="12">
        <v>103</v>
      </c>
      <c r="Q13" s="10">
        <v>0</v>
      </c>
      <c r="R13" s="11">
        <v>0</v>
      </c>
      <c r="S13" s="11">
        <v>0</v>
      </c>
      <c r="T13" s="11">
        <v>0</v>
      </c>
      <c r="U13" s="12">
        <v>0</v>
      </c>
      <c r="V13" s="10">
        <v>0</v>
      </c>
      <c r="W13" s="11">
        <v>0</v>
      </c>
      <c r="X13" s="11">
        <v>0</v>
      </c>
      <c r="Y13" s="11">
        <v>0</v>
      </c>
      <c r="Z13" s="12">
        <v>0</v>
      </c>
      <c r="AA13" s="26">
        <f t="shared" si="0"/>
        <v>103</v>
      </c>
    </row>
    <row r="14" spans="1:27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17" t="s">
        <v>16</v>
      </c>
      <c r="B16" s="4" t="s">
        <v>1</v>
      </c>
      <c r="C16" s="5" t="s">
        <v>2</v>
      </c>
      <c r="D16" s="5" t="s">
        <v>3</v>
      </c>
      <c r="E16" s="5" t="s">
        <v>18</v>
      </c>
      <c r="F16" s="6" t="s">
        <v>19</v>
      </c>
      <c r="G16" s="4" t="s">
        <v>1</v>
      </c>
      <c r="H16" s="5" t="s">
        <v>2</v>
      </c>
      <c r="I16" s="5" t="s">
        <v>3</v>
      </c>
      <c r="J16" s="5" t="s">
        <v>18</v>
      </c>
      <c r="K16" s="6" t="s">
        <v>19</v>
      </c>
      <c r="L16" s="4" t="s">
        <v>1</v>
      </c>
      <c r="M16" s="5" t="s">
        <v>2</v>
      </c>
      <c r="N16" s="5" t="s">
        <v>3</v>
      </c>
      <c r="O16" s="5" t="s">
        <v>18</v>
      </c>
      <c r="P16" s="6" t="s">
        <v>19</v>
      </c>
      <c r="Q16" s="4" t="s">
        <v>1</v>
      </c>
      <c r="R16" s="5" t="s">
        <v>2</v>
      </c>
      <c r="S16" s="5" t="s">
        <v>3</v>
      </c>
      <c r="T16" s="5" t="s">
        <v>18</v>
      </c>
      <c r="U16" s="6" t="s">
        <v>19</v>
      </c>
      <c r="V16" s="4" t="s">
        <v>1</v>
      </c>
      <c r="W16" s="5" t="s">
        <v>2</v>
      </c>
      <c r="X16" s="5" t="s">
        <v>3</v>
      </c>
      <c r="Y16" s="5" t="s">
        <v>18</v>
      </c>
      <c r="Z16" s="6" t="s">
        <v>19</v>
      </c>
      <c r="AA16" s="2"/>
    </row>
    <row r="17" spans="1:27">
      <c r="A17" s="18" t="s">
        <v>5</v>
      </c>
      <c r="B17" s="14">
        <v>538</v>
      </c>
      <c r="C17" s="14">
        <v>127</v>
      </c>
      <c r="D17" s="14">
        <v>446</v>
      </c>
      <c r="E17" s="14">
        <v>106</v>
      </c>
      <c r="F17" s="15">
        <v>1989</v>
      </c>
      <c r="G17" s="13">
        <v>308</v>
      </c>
      <c r="H17" s="14">
        <v>100</v>
      </c>
      <c r="I17" s="14">
        <v>304</v>
      </c>
      <c r="J17" s="14">
        <v>26</v>
      </c>
      <c r="K17" s="15">
        <v>1107</v>
      </c>
      <c r="L17" s="13">
        <v>157</v>
      </c>
      <c r="M17" s="14">
        <v>69</v>
      </c>
      <c r="N17" s="14">
        <v>175</v>
      </c>
      <c r="O17" s="14">
        <v>12</v>
      </c>
      <c r="P17" s="15">
        <v>617</v>
      </c>
      <c r="Q17" s="13">
        <v>59</v>
      </c>
      <c r="R17" s="14">
        <v>25</v>
      </c>
      <c r="S17" s="14">
        <v>60</v>
      </c>
      <c r="T17" s="14">
        <v>0</v>
      </c>
      <c r="U17" s="15">
        <v>228</v>
      </c>
      <c r="V17" s="13">
        <v>0</v>
      </c>
      <c r="W17" s="14">
        <v>0</v>
      </c>
      <c r="X17" s="14">
        <v>0</v>
      </c>
      <c r="Y17" s="14">
        <v>0</v>
      </c>
      <c r="Z17" s="15">
        <v>0</v>
      </c>
      <c r="AA17" s="24">
        <f t="shared" ref="AA17:AA27" si="1">SUM(B17:Z17)</f>
        <v>6453</v>
      </c>
    </row>
    <row r="18" spans="1:27">
      <c r="A18" s="18" t="s">
        <v>6</v>
      </c>
      <c r="B18" s="8">
        <v>168</v>
      </c>
      <c r="C18" s="20">
        <v>96</v>
      </c>
      <c r="D18" s="8">
        <v>242</v>
      </c>
      <c r="E18" s="8">
        <v>38</v>
      </c>
      <c r="F18" s="9">
        <v>561</v>
      </c>
      <c r="G18" s="7">
        <v>149</v>
      </c>
      <c r="H18" s="8">
        <v>68</v>
      </c>
      <c r="I18" s="8">
        <v>223</v>
      </c>
      <c r="J18" s="8">
        <v>4</v>
      </c>
      <c r="K18" s="9">
        <v>440</v>
      </c>
      <c r="L18" s="7">
        <v>67</v>
      </c>
      <c r="M18" s="8">
        <v>50</v>
      </c>
      <c r="N18" s="8">
        <v>144</v>
      </c>
      <c r="O18" s="8">
        <v>4</v>
      </c>
      <c r="P18" s="9">
        <v>290</v>
      </c>
      <c r="Q18" s="7">
        <v>52</v>
      </c>
      <c r="R18" s="8">
        <v>18</v>
      </c>
      <c r="S18" s="8">
        <v>6</v>
      </c>
      <c r="T18" s="8">
        <v>0</v>
      </c>
      <c r="U18" s="9">
        <v>131</v>
      </c>
      <c r="V18" s="7">
        <v>0</v>
      </c>
      <c r="W18" s="8">
        <v>0</v>
      </c>
      <c r="X18" s="8">
        <v>0</v>
      </c>
      <c r="Y18" s="8">
        <v>0</v>
      </c>
      <c r="Z18" s="9">
        <v>0</v>
      </c>
      <c r="AA18" s="25">
        <f t="shared" si="1"/>
        <v>2751</v>
      </c>
    </row>
    <row r="19" spans="1:27">
      <c r="A19" s="18" t="s">
        <v>7</v>
      </c>
      <c r="B19" s="8">
        <v>37</v>
      </c>
      <c r="C19" s="8">
        <v>18</v>
      </c>
      <c r="D19" s="8">
        <v>46</v>
      </c>
      <c r="E19" s="8">
        <v>12</v>
      </c>
      <c r="F19" s="9">
        <v>37</v>
      </c>
      <c r="G19" s="7">
        <v>30</v>
      </c>
      <c r="H19" s="8">
        <v>8</v>
      </c>
      <c r="I19" s="8">
        <v>14</v>
      </c>
      <c r="J19" s="8">
        <v>0</v>
      </c>
      <c r="K19" s="9">
        <v>19</v>
      </c>
      <c r="L19" s="7">
        <v>0</v>
      </c>
      <c r="M19" s="8">
        <v>0</v>
      </c>
      <c r="N19" s="8">
        <v>2</v>
      </c>
      <c r="O19" s="8">
        <v>0</v>
      </c>
      <c r="P19" s="9">
        <v>0</v>
      </c>
      <c r="Q19" s="7">
        <v>0</v>
      </c>
      <c r="R19" s="8">
        <v>0</v>
      </c>
      <c r="S19" s="8">
        <v>2</v>
      </c>
      <c r="T19" s="8">
        <v>0</v>
      </c>
      <c r="U19" s="9">
        <v>0</v>
      </c>
      <c r="V19" s="7">
        <v>0</v>
      </c>
      <c r="W19" s="8">
        <v>0</v>
      </c>
      <c r="X19" s="8">
        <v>0</v>
      </c>
      <c r="Y19" s="8">
        <v>0</v>
      </c>
      <c r="Z19" s="9">
        <v>0</v>
      </c>
      <c r="AA19" s="25">
        <f t="shared" si="1"/>
        <v>225</v>
      </c>
    </row>
    <row r="20" spans="1:27">
      <c r="A20" s="18" t="s">
        <v>8</v>
      </c>
      <c r="B20" s="8">
        <v>415</v>
      </c>
      <c r="C20" s="8">
        <v>79</v>
      </c>
      <c r="D20" s="8">
        <v>222</v>
      </c>
      <c r="E20" s="8">
        <v>42</v>
      </c>
      <c r="F20" s="9">
        <v>915</v>
      </c>
      <c r="G20" s="7">
        <v>229</v>
      </c>
      <c r="H20" s="8">
        <v>49</v>
      </c>
      <c r="I20" s="8">
        <v>162</v>
      </c>
      <c r="J20" s="8">
        <v>11</v>
      </c>
      <c r="K20" s="9">
        <v>398</v>
      </c>
      <c r="L20" s="7">
        <v>101</v>
      </c>
      <c r="M20" s="8">
        <v>25</v>
      </c>
      <c r="N20" s="8">
        <v>79</v>
      </c>
      <c r="O20" s="8">
        <v>8</v>
      </c>
      <c r="P20" s="9">
        <v>233</v>
      </c>
      <c r="Q20" s="7">
        <v>41</v>
      </c>
      <c r="R20" s="8">
        <v>11</v>
      </c>
      <c r="S20" s="8">
        <v>26</v>
      </c>
      <c r="T20" s="8">
        <v>0</v>
      </c>
      <c r="U20" s="9">
        <v>111</v>
      </c>
      <c r="V20" s="7">
        <v>0</v>
      </c>
      <c r="W20" s="8">
        <v>0</v>
      </c>
      <c r="X20" s="8">
        <v>0</v>
      </c>
      <c r="Y20" s="8">
        <v>0</v>
      </c>
      <c r="Z20" s="9">
        <v>0</v>
      </c>
      <c r="AA20" s="25">
        <f t="shared" si="1"/>
        <v>3157</v>
      </c>
    </row>
    <row r="21" spans="1:27">
      <c r="A21" s="18" t="s">
        <v>9</v>
      </c>
      <c r="B21" s="8">
        <v>514</v>
      </c>
      <c r="C21" s="8">
        <v>177</v>
      </c>
      <c r="D21" s="8">
        <v>445</v>
      </c>
      <c r="E21" s="8">
        <v>222</v>
      </c>
      <c r="F21" s="9">
        <v>2080</v>
      </c>
      <c r="G21" s="7">
        <v>317</v>
      </c>
      <c r="H21" s="8">
        <v>117</v>
      </c>
      <c r="I21" s="8">
        <v>264</v>
      </c>
      <c r="J21" s="8">
        <v>134</v>
      </c>
      <c r="K21" s="9">
        <v>638</v>
      </c>
      <c r="L21" s="7">
        <v>157</v>
      </c>
      <c r="M21" s="8">
        <v>68</v>
      </c>
      <c r="N21" s="8">
        <v>91</v>
      </c>
      <c r="O21" s="8">
        <v>67</v>
      </c>
      <c r="P21" s="9">
        <v>325</v>
      </c>
      <c r="Q21" s="7">
        <v>52</v>
      </c>
      <c r="R21" s="8">
        <v>13</v>
      </c>
      <c r="S21" s="8">
        <v>18</v>
      </c>
      <c r="T21" s="8">
        <v>28</v>
      </c>
      <c r="U21" s="9">
        <v>101</v>
      </c>
      <c r="V21" s="7">
        <v>0</v>
      </c>
      <c r="W21" s="8">
        <v>0</v>
      </c>
      <c r="X21" s="8">
        <v>0</v>
      </c>
      <c r="Y21" s="8">
        <v>0</v>
      </c>
      <c r="Z21" s="9">
        <v>0</v>
      </c>
      <c r="AA21" s="25">
        <f t="shared" si="1"/>
        <v>5828</v>
      </c>
    </row>
    <row r="22" spans="1:27">
      <c r="A22" s="18" t="s">
        <v>10</v>
      </c>
      <c r="B22" s="8">
        <v>248</v>
      </c>
      <c r="C22" s="8">
        <v>18</v>
      </c>
      <c r="D22" s="8">
        <v>146</v>
      </c>
      <c r="E22" s="8">
        <v>76</v>
      </c>
      <c r="F22" s="9">
        <v>150</v>
      </c>
      <c r="G22" s="7">
        <v>230</v>
      </c>
      <c r="H22" s="8">
        <v>0</v>
      </c>
      <c r="I22" s="8">
        <v>14</v>
      </c>
      <c r="J22" s="8">
        <v>61</v>
      </c>
      <c r="K22" s="9">
        <v>361</v>
      </c>
      <c r="L22" s="7">
        <v>12</v>
      </c>
      <c r="M22" s="8">
        <v>0</v>
      </c>
      <c r="N22" s="8">
        <v>44</v>
      </c>
      <c r="O22" s="8">
        <v>49</v>
      </c>
      <c r="P22" s="9">
        <v>63</v>
      </c>
      <c r="Q22" s="7">
        <v>15</v>
      </c>
      <c r="R22" s="8">
        <v>0</v>
      </c>
      <c r="S22" s="8">
        <v>2</v>
      </c>
      <c r="T22" s="8">
        <v>31</v>
      </c>
      <c r="U22" s="9">
        <v>263</v>
      </c>
      <c r="V22" s="7">
        <v>0</v>
      </c>
      <c r="W22" s="8">
        <v>0</v>
      </c>
      <c r="X22" s="8">
        <v>0</v>
      </c>
      <c r="Y22" s="8">
        <v>0</v>
      </c>
      <c r="Z22" s="9">
        <v>0</v>
      </c>
      <c r="AA22" s="25">
        <f t="shared" si="1"/>
        <v>1783</v>
      </c>
    </row>
    <row r="23" spans="1:27">
      <c r="A23" s="18" t="s">
        <v>11</v>
      </c>
      <c r="B23" s="8">
        <v>750</v>
      </c>
      <c r="C23" s="8">
        <v>200</v>
      </c>
      <c r="D23" s="8">
        <v>670</v>
      </c>
      <c r="E23" s="8">
        <v>310</v>
      </c>
      <c r="F23" s="9">
        <v>3804</v>
      </c>
      <c r="G23" s="7">
        <v>560</v>
      </c>
      <c r="H23" s="8">
        <v>150</v>
      </c>
      <c r="I23" s="8">
        <v>500</v>
      </c>
      <c r="J23" s="8">
        <v>230</v>
      </c>
      <c r="K23" s="9">
        <v>2852</v>
      </c>
      <c r="L23" s="7">
        <v>370</v>
      </c>
      <c r="M23" s="8">
        <v>100</v>
      </c>
      <c r="N23" s="8">
        <v>330</v>
      </c>
      <c r="O23" s="8">
        <v>150</v>
      </c>
      <c r="P23" s="9">
        <v>1900</v>
      </c>
      <c r="Q23" s="7">
        <v>180</v>
      </c>
      <c r="R23" s="8">
        <v>50</v>
      </c>
      <c r="S23" s="8">
        <v>160</v>
      </c>
      <c r="T23" s="8">
        <v>70</v>
      </c>
      <c r="U23" s="9">
        <v>947</v>
      </c>
      <c r="V23" s="7">
        <v>0</v>
      </c>
      <c r="W23" s="8">
        <v>0</v>
      </c>
      <c r="X23" s="8">
        <v>0</v>
      </c>
      <c r="Y23" s="8">
        <v>0</v>
      </c>
      <c r="Z23" s="9">
        <v>0</v>
      </c>
      <c r="AA23" s="25">
        <f t="shared" si="1"/>
        <v>14283</v>
      </c>
    </row>
    <row r="24" spans="1:27">
      <c r="A24" s="18" t="s">
        <v>12</v>
      </c>
      <c r="B24" s="8">
        <v>175</v>
      </c>
      <c r="C24" s="8">
        <v>89</v>
      </c>
      <c r="D24" s="8">
        <v>271</v>
      </c>
      <c r="E24" s="8">
        <v>34</v>
      </c>
      <c r="F24" s="9">
        <v>529</v>
      </c>
      <c r="G24" s="7">
        <v>341</v>
      </c>
      <c r="H24" s="8">
        <v>146</v>
      </c>
      <c r="I24" s="8">
        <v>280</v>
      </c>
      <c r="J24" s="8">
        <v>0</v>
      </c>
      <c r="K24" s="9">
        <v>438</v>
      </c>
      <c r="L24" s="7">
        <v>186</v>
      </c>
      <c r="M24" s="8">
        <v>99</v>
      </c>
      <c r="N24" s="8">
        <v>163</v>
      </c>
      <c r="O24" s="8">
        <v>4</v>
      </c>
      <c r="P24" s="9">
        <v>289</v>
      </c>
      <c r="Q24" s="7">
        <v>63</v>
      </c>
      <c r="R24" s="8">
        <v>45</v>
      </c>
      <c r="S24" s="8">
        <v>72</v>
      </c>
      <c r="T24" s="8">
        <v>0</v>
      </c>
      <c r="U24" s="9">
        <v>128</v>
      </c>
      <c r="V24" s="7">
        <v>0</v>
      </c>
      <c r="W24" s="8">
        <v>0</v>
      </c>
      <c r="X24" s="8">
        <v>0</v>
      </c>
      <c r="Y24" s="8">
        <v>0</v>
      </c>
      <c r="Z24" s="9">
        <v>0</v>
      </c>
      <c r="AA24" s="25">
        <f t="shared" si="1"/>
        <v>3352</v>
      </c>
    </row>
    <row r="25" spans="1:27">
      <c r="A25" s="18" t="s">
        <v>13</v>
      </c>
      <c r="B25" s="8">
        <v>43</v>
      </c>
      <c r="C25" s="8">
        <v>18</v>
      </c>
      <c r="D25" s="8">
        <v>46</v>
      </c>
      <c r="E25" s="8">
        <v>10</v>
      </c>
      <c r="F25" s="9">
        <v>31</v>
      </c>
      <c r="G25" s="7">
        <v>157</v>
      </c>
      <c r="H25" s="8">
        <v>104</v>
      </c>
      <c r="I25" s="8">
        <v>124</v>
      </c>
      <c r="J25" s="8">
        <v>0</v>
      </c>
      <c r="K25" s="9">
        <v>19</v>
      </c>
      <c r="L25" s="7">
        <v>70</v>
      </c>
      <c r="M25" s="8">
        <v>81</v>
      </c>
      <c r="N25" s="8">
        <v>76</v>
      </c>
      <c r="O25" s="8">
        <v>0</v>
      </c>
      <c r="P25" s="9">
        <v>0</v>
      </c>
      <c r="Q25" s="7">
        <v>54</v>
      </c>
      <c r="R25" s="8">
        <v>26</v>
      </c>
      <c r="S25" s="8">
        <v>42</v>
      </c>
      <c r="T25" s="8">
        <v>0</v>
      </c>
      <c r="U25" s="9">
        <v>0</v>
      </c>
      <c r="V25" s="7">
        <v>0</v>
      </c>
      <c r="W25" s="8">
        <v>0</v>
      </c>
      <c r="X25" s="8">
        <v>0</v>
      </c>
      <c r="Y25" s="8">
        <v>0</v>
      </c>
      <c r="Z25" s="9">
        <v>0</v>
      </c>
      <c r="AA25" s="25">
        <f t="shared" si="1"/>
        <v>901</v>
      </c>
    </row>
    <row r="26" spans="1:27">
      <c r="A26" s="18" t="s">
        <v>14</v>
      </c>
      <c r="B26" s="8">
        <v>422</v>
      </c>
      <c r="C26" s="8">
        <v>77</v>
      </c>
      <c r="D26" s="8">
        <v>217</v>
      </c>
      <c r="E26" s="8">
        <v>46</v>
      </c>
      <c r="F26" s="9">
        <v>911</v>
      </c>
      <c r="G26" s="7">
        <v>399</v>
      </c>
      <c r="H26" s="8">
        <v>137</v>
      </c>
      <c r="I26" s="8">
        <v>249</v>
      </c>
      <c r="J26" s="8">
        <v>8</v>
      </c>
      <c r="K26" s="9">
        <v>473</v>
      </c>
      <c r="L26" s="7">
        <v>224</v>
      </c>
      <c r="M26" s="8">
        <v>95</v>
      </c>
      <c r="N26" s="8">
        <v>166</v>
      </c>
      <c r="O26" s="8">
        <v>7</v>
      </c>
      <c r="P26" s="9">
        <v>237</v>
      </c>
      <c r="Q26" s="7">
        <v>70</v>
      </c>
      <c r="R26" s="8">
        <v>33</v>
      </c>
      <c r="S26" s="8">
        <v>78</v>
      </c>
      <c r="T26" s="8">
        <v>0</v>
      </c>
      <c r="U26" s="9">
        <v>103</v>
      </c>
      <c r="V26" s="7">
        <v>0</v>
      </c>
      <c r="W26" s="8">
        <v>0</v>
      </c>
      <c r="X26" s="8">
        <v>0</v>
      </c>
      <c r="Y26" s="8">
        <v>0</v>
      </c>
      <c r="Z26" s="9">
        <v>0</v>
      </c>
      <c r="AA26" s="25">
        <f t="shared" si="1"/>
        <v>3952</v>
      </c>
    </row>
    <row r="27" spans="1:27">
      <c r="A27" s="19" t="s">
        <v>15</v>
      </c>
      <c r="B27" s="11">
        <v>750</v>
      </c>
      <c r="C27" s="11">
        <v>200</v>
      </c>
      <c r="D27" s="11">
        <v>670</v>
      </c>
      <c r="E27" s="11">
        <v>310</v>
      </c>
      <c r="F27" s="12">
        <v>3804</v>
      </c>
      <c r="G27" s="10">
        <v>560</v>
      </c>
      <c r="H27" s="11">
        <v>150</v>
      </c>
      <c r="I27" s="11">
        <v>500</v>
      </c>
      <c r="J27" s="11">
        <v>230</v>
      </c>
      <c r="K27" s="12">
        <v>2852</v>
      </c>
      <c r="L27" s="10">
        <v>370</v>
      </c>
      <c r="M27" s="11">
        <v>100</v>
      </c>
      <c r="N27" s="11">
        <v>330</v>
      </c>
      <c r="O27" s="11">
        <v>150</v>
      </c>
      <c r="P27" s="12">
        <v>1900</v>
      </c>
      <c r="Q27" s="10">
        <v>180</v>
      </c>
      <c r="R27" s="11">
        <v>50</v>
      </c>
      <c r="S27" s="11">
        <v>160</v>
      </c>
      <c r="T27" s="11">
        <v>70</v>
      </c>
      <c r="U27" s="12">
        <v>947</v>
      </c>
      <c r="V27" s="10">
        <v>0</v>
      </c>
      <c r="W27" s="11">
        <v>0</v>
      </c>
      <c r="X27" s="11">
        <v>0</v>
      </c>
      <c r="Y27" s="11">
        <v>0</v>
      </c>
      <c r="Z27" s="12">
        <v>0</v>
      </c>
      <c r="AA27" s="26">
        <f t="shared" si="1"/>
        <v>14283</v>
      </c>
    </row>
    <row r="29" spans="1:27" ht="15.75">
      <c r="A29" t="s">
        <v>17</v>
      </c>
      <c r="B29" s="27" t="s">
        <v>22</v>
      </c>
      <c r="C29" s="27"/>
      <c r="D29" s="27"/>
      <c r="E29" s="27"/>
      <c r="G29" s="29" t="s">
        <v>20</v>
      </c>
    </row>
    <row r="31" spans="1:27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3" spans="1:27">
      <c r="B33" s="35">
        <v>0.6</v>
      </c>
      <c r="C33" s="35"/>
      <c r="D33" s="35"/>
      <c r="E33" s="35"/>
      <c r="F33" s="35"/>
      <c r="G33" s="35">
        <v>0.7</v>
      </c>
      <c r="H33" s="35"/>
      <c r="I33" s="35"/>
      <c r="J33" s="35"/>
      <c r="K33" s="35"/>
      <c r="L33" s="35">
        <v>0.8</v>
      </c>
      <c r="M33" s="35"/>
      <c r="N33" s="35"/>
      <c r="O33" s="35"/>
      <c r="P33" s="3"/>
      <c r="Q33" s="35">
        <v>0.9</v>
      </c>
      <c r="R33" s="35"/>
      <c r="S33" s="35"/>
      <c r="T33" s="35"/>
      <c r="U33" s="35"/>
      <c r="V33" s="35">
        <v>1</v>
      </c>
      <c r="W33" s="35"/>
      <c r="X33" s="35"/>
      <c r="Y33" s="35"/>
      <c r="Z33" s="35"/>
    </row>
    <row r="34" spans="1:27">
      <c r="A34" s="17" t="s">
        <v>0</v>
      </c>
      <c r="B34" s="21" t="s">
        <v>1</v>
      </c>
      <c r="C34" s="22" t="s">
        <v>2</v>
      </c>
      <c r="D34" s="22" t="s">
        <v>3</v>
      </c>
      <c r="E34" s="22" t="s">
        <v>18</v>
      </c>
      <c r="F34" s="23" t="s">
        <v>19</v>
      </c>
      <c r="G34" s="21" t="s">
        <v>1</v>
      </c>
      <c r="H34" s="22" t="s">
        <v>2</v>
      </c>
      <c r="I34" s="22" t="s">
        <v>3</v>
      </c>
      <c r="J34" s="22" t="s">
        <v>18</v>
      </c>
      <c r="K34" s="23" t="s">
        <v>19</v>
      </c>
      <c r="L34" s="21" t="s">
        <v>1</v>
      </c>
      <c r="M34" s="22" t="s">
        <v>2</v>
      </c>
      <c r="N34" s="22" t="s">
        <v>3</v>
      </c>
      <c r="O34" s="22" t="s">
        <v>18</v>
      </c>
      <c r="P34" s="23" t="s">
        <v>19</v>
      </c>
      <c r="Q34" s="21" t="s">
        <v>1</v>
      </c>
      <c r="R34" s="22" t="s">
        <v>2</v>
      </c>
      <c r="S34" s="22" t="s">
        <v>3</v>
      </c>
      <c r="T34" s="22" t="s">
        <v>18</v>
      </c>
      <c r="U34" s="23" t="s">
        <v>19</v>
      </c>
      <c r="V34" s="21" t="s">
        <v>1</v>
      </c>
      <c r="W34" s="22" t="s">
        <v>2</v>
      </c>
      <c r="X34" s="22" t="s">
        <v>3</v>
      </c>
      <c r="Y34" s="22" t="s">
        <v>18</v>
      </c>
      <c r="Z34" s="23" t="s">
        <v>19</v>
      </c>
      <c r="AA34" s="16" t="s">
        <v>4</v>
      </c>
    </row>
    <row r="35" spans="1:27">
      <c r="A35" s="18" t="s">
        <v>5</v>
      </c>
      <c r="B35" s="7"/>
      <c r="C35" s="8"/>
      <c r="D35" s="8"/>
      <c r="E35" s="8"/>
      <c r="F35" s="9"/>
      <c r="G35" s="7"/>
      <c r="H35" s="8"/>
      <c r="I35" s="8"/>
      <c r="J35" s="8"/>
      <c r="K35" s="9"/>
      <c r="L35" s="7"/>
      <c r="M35" s="8"/>
      <c r="N35" s="8"/>
      <c r="O35" s="8"/>
      <c r="P35" s="9"/>
      <c r="Q35" s="7"/>
      <c r="R35" s="8"/>
      <c r="S35" s="8"/>
      <c r="T35" s="8"/>
      <c r="U35" s="9"/>
      <c r="V35" s="7"/>
      <c r="W35" s="8"/>
      <c r="X35" s="8"/>
      <c r="Y35" s="8"/>
      <c r="Z35" s="9"/>
      <c r="AA35" s="24"/>
    </row>
    <row r="36" spans="1:27">
      <c r="A36" s="18" t="s">
        <v>6</v>
      </c>
      <c r="B36" s="30">
        <v>8</v>
      </c>
      <c r="C36" s="31">
        <v>0</v>
      </c>
      <c r="D36" s="31">
        <v>1</v>
      </c>
      <c r="E36" s="31">
        <v>0</v>
      </c>
      <c r="F36" s="32">
        <v>318</v>
      </c>
      <c r="G36" s="30">
        <v>0</v>
      </c>
      <c r="H36" s="31">
        <v>0</v>
      </c>
      <c r="I36" s="31">
        <v>2</v>
      </c>
      <c r="J36" s="31">
        <v>0</v>
      </c>
      <c r="K36" s="32">
        <v>206</v>
      </c>
      <c r="L36" s="30">
        <v>0</v>
      </c>
      <c r="M36" s="31">
        <v>0</v>
      </c>
      <c r="N36" s="31">
        <v>0</v>
      </c>
      <c r="O36" s="31">
        <v>0</v>
      </c>
      <c r="P36" s="32">
        <v>421</v>
      </c>
      <c r="Q36" s="30">
        <v>0</v>
      </c>
      <c r="R36" s="31">
        <v>0</v>
      </c>
      <c r="S36" s="31">
        <v>0</v>
      </c>
      <c r="T36" s="31">
        <v>0</v>
      </c>
      <c r="U36" s="32">
        <v>372</v>
      </c>
      <c r="V36" s="30">
        <v>0</v>
      </c>
      <c r="W36" s="31">
        <v>0</v>
      </c>
      <c r="X36" s="31">
        <v>0</v>
      </c>
      <c r="Y36" s="31">
        <v>0</v>
      </c>
      <c r="Z36" s="32">
        <v>404</v>
      </c>
      <c r="AA36" s="33">
        <f t="shared" ref="AA36:AA38" si="2">SUM(B36:Z36)</f>
        <v>1732</v>
      </c>
    </row>
    <row r="37" spans="1:27">
      <c r="A37" s="18" t="s">
        <v>7</v>
      </c>
      <c r="B37" s="7"/>
      <c r="C37" s="8"/>
      <c r="D37" s="8"/>
      <c r="E37" s="8"/>
      <c r="F37" s="9"/>
      <c r="G37" s="7"/>
      <c r="H37" s="8"/>
      <c r="I37" s="8"/>
      <c r="J37" s="8"/>
      <c r="K37" s="9"/>
      <c r="L37" s="7"/>
      <c r="M37" s="8"/>
      <c r="N37" s="8"/>
      <c r="O37" s="8"/>
      <c r="P37" s="9"/>
      <c r="Q37" s="7"/>
      <c r="R37" s="8"/>
      <c r="S37" s="8"/>
      <c r="T37" s="8"/>
      <c r="U37" s="9"/>
      <c r="V37" s="7"/>
      <c r="W37" s="8"/>
      <c r="X37" s="8"/>
      <c r="Y37" s="8"/>
      <c r="Z37" s="9"/>
      <c r="AA37" s="25"/>
    </row>
    <row r="38" spans="1:27">
      <c r="A38" s="18" t="s">
        <v>8</v>
      </c>
      <c r="B38" s="30">
        <v>12</v>
      </c>
      <c r="C38" s="31">
        <v>0</v>
      </c>
      <c r="D38" s="31">
        <v>1</v>
      </c>
      <c r="E38" s="31">
        <v>0</v>
      </c>
      <c r="F38" s="32">
        <v>1392</v>
      </c>
      <c r="G38" s="30">
        <v>5</v>
      </c>
      <c r="H38" s="31">
        <v>0</v>
      </c>
      <c r="I38" s="31">
        <v>0</v>
      </c>
      <c r="J38" s="31">
        <v>0</v>
      </c>
      <c r="K38" s="32">
        <v>1227</v>
      </c>
      <c r="L38" s="30">
        <v>3</v>
      </c>
      <c r="M38" s="31">
        <v>0</v>
      </c>
      <c r="N38" s="31">
        <v>0</v>
      </c>
      <c r="O38" s="31">
        <v>0</v>
      </c>
      <c r="P38" s="32">
        <v>1347</v>
      </c>
      <c r="Q38" s="30">
        <v>2</v>
      </c>
      <c r="R38" s="31">
        <v>0</v>
      </c>
      <c r="S38" s="31">
        <v>0</v>
      </c>
      <c r="T38" s="31">
        <v>0</v>
      </c>
      <c r="U38" s="32">
        <v>1575</v>
      </c>
      <c r="V38" s="30">
        <v>0</v>
      </c>
      <c r="W38" s="31">
        <v>0</v>
      </c>
      <c r="X38" s="31">
        <v>0</v>
      </c>
      <c r="Y38" s="31">
        <v>0</v>
      </c>
      <c r="Z38" s="32">
        <v>1556</v>
      </c>
      <c r="AA38" s="33">
        <f t="shared" si="2"/>
        <v>7120</v>
      </c>
    </row>
    <row r="39" spans="1:27">
      <c r="A39" s="18" t="s">
        <v>9</v>
      </c>
      <c r="B39" s="7"/>
      <c r="C39" s="8"/>
      <c r="D39" s="8"/>
      <c r="E39" s="8"/>
      <c r="F39" s="9"/>
      <c r="G39" s="7"/>
      <c r="H39" s="8"/>
      <c r="I39" s="8"/>
      <c r="J39" s="8"/>
      <c r="K39" s="9"/>
      <c r="L39" s="7"/>
      <c r="M39" s="8"/>
      <c r="N39" s="8"/>
      <c r="O39" s="8"/>
      <c r="P39" s="9"/>
      <c r="Q39" s="7"/>
      <c r="R39" s="8"/>
      <c r="S39" s="8"/>
      <c r="T39" s="8"/>
      <c r="U39" s="9"/>
      <c r="V39" s="7"/>
      <c r="W39" s="8"/>
      <c r="X39" s="8"/>
      <c r="Y39" s="8"/>
      <c r="Z39" s="9"/>
      <c r="AA39" s="25"/>
    </row>
    <row r="40" spans="1:27">
      <c r="A40" s="18" t="s">
        <v>10</v>
      </c>
      <c r="B40" s="7"/>
      <c r="C40" s="8"/>
      <c r="D40" s="8"/>
      <c r="E40" s="8"/>
      <c r="F40" s="9"/>
      <c r="G40" s="7"/>
      <c r="H40" s="8"/>
      <c r="I40" s="8"/>
      <c r="J40" s="8"/>
      <c r="K40" s="9"/>
      <c r="L40" s="7"/>
      <c r="M40" s="8"/>
      <c r="N40" s="8"/>
      <c r="O40" s="8"/>
      <c r="P40" s="9"/>
      <c r="Q40" s="7"/>
      <c r="R40" s="8"/>
      <c r="S40" s="8"/>
      <c r="T40" s="8"/>
      <c r="U40" s="9"/>
      <c r="V40" s="7"/>
      <c r="W40" s="8"/>
      <c r="X40" s="8"/>
      <c r="Y40" s="8"/>
      <c r="Z40" s="9"/>
      <c r="AA40" s="25"/>
    </row>
    <row r="41" spans="1:27">
      <c r="A41" s="18" t="s">
        <v>11</v>
      </c>
      <c r="B41" s="7"/>
      <c r="C41" s="8"/>
      <c r="D41" s="8"/>
      <c r="E41" s="8"/>
      <c r="F41" s="9"/>
      <c r="G41" s="7"/>
      <c r="H41" s="8"/>
      <c r="I41" s="8"/>
      <c r="J41" s="8"/>
      <c r="K41" s="9"/>
      <c r="L41" s="7"/>
      <c r="M41" s="8"/>
      <c r="N41" s="8"/>
      <c r="O41" s="8"/>
      <c r="P41" s="9"/>
      <c r="Q41" s="7"/>
      <c r="R41" s="8"/>
      <c r="S41" s="8"/>
      <c r="T41" s="8"/>
      <c r="U41" s="9"/>
      <c r="V41" s="7"/>
      <c r="W41" s="8"/>
      <c r="X41" s="8"/>
      <c r="Y41" s="8"/>
      <c r="Z41" s="9"/>
      <c r="AA41" s="25"/>
    </row>
    <row r="42" spans="1:27">
      <c r="A42" s="18" t="s">
        <v>12</v>
      </c>
      <c r="B42" s="7"/>
      <c r="C42" s="8"/>
      <c r="D42" s="8"/>
      <c r="E42" s="8"/>
      <c r="F42" s="9"/>
      <c r="G42" s="7"/>
      <c r="H42" s="8"/>
      <c r="I42" s="8"/>
      <c r="J42" s="8"/>
      <c r="K42" s="9"/>
      <c r="L42" s="7"/>
      <c r="M42" s="8"/>
      <c r="N42" s="8"/>
      <c r="O42" s="8"/>
      <c r="P42" s="9"/>
      <c r="Q42" s="7"/>
      <c r="R42" s="8"/>
      <c r="S42" s="8"/>
      <c r="T42" s="8"/>
      <c r="U42" s="9"/>
      <c r="V42" s="7"/>
      <c r="W42" s="8"/>
      <c r="X42" s="8"/>
      <c r="Y42" s="8"/>
      <c r="Z42" s="9"/>
      <c r="AA42" s="25"/>
    </row>
    <row r="43" spans="1:27">
      <c r="A43" s="18" t="s">
        <v>13</v>
      </c>
      <c r="B43" s="7"/>
      <c r="C43" s="8"/>
      <c r="D43" s="8"/>
      <c r="E43" s="8"/>
      <c r="F43" s="9"/>
      <c r="G43" s="7"/>
      <c r="H43" s="8"/>
      <c r="I43" s="8"/>
      <c r="J43" s="8"/>
      <c r="K43" s="9"/>
      <c r="L43" s="7"/>
      <c r="M43" s="8"/>
      <c r="N43" s="8"/>
      <c r="O43" s="8"/>
      <c r="P43" s="9"/>
      <c r="Q43" s="7"/>
      <c r="R43" s="8"/>
      <c r="S43" s="8"/>
      <c r="T43" s="8"/>
      <c r="U43" s="9"/>
      <c r="V43" s="7"/>
      <c r="W43" s="8"/>
      <c r="X43" s="8"/>
      <c r="Y43" s="8"/>
      <c r="Z43" s="9"/>
      <c r="AA43" s="25"/>
    </row>
    <row r="44" spans="1:27">
      <c r="A44" s="18" t="s">
        <v>14</v>
      </c>
      <c r="B44" s="7"/>
      <c r="C44" s="8"/>
      <c r="D44" s="8"/>
      <c r="E44" s="8"/>
      <c r="F44" s="9"/>
      <c r="G44" s="7"/>
      <c r="H44" s="8"/>
      <c r="I44" s="8"/>
      <c r="J44" s="8"/>
      <c r="K44" s="9"/>
      <c r="L44" s="7"/>
      <c r="M44" s="8"/>
      <c r="N44" s="8"/>
      <c r="O44" s="8"/>
      <c r="P44" s="9"/>
      <c r="Q44" s="7"/>
      <c r="R44" s="8"/>
      <c r="S44" s="8"/>
      <c r="T44" s="8"/>
      <c r="U44" s="9"/>
      <c r="V44" s="7"/>
      <c r="W44" s="8"/>
      <c r="X44" s="8"/>
      <c r="Y44" s="8"/>
      <c r="Z44" s="9"/>
      <c r="AA44" s="25"/>
    </row>
    <row r="45" spans="1:27">
      <c r="A45" s="19" t="s">
        <v>15</v>
      </c>
      <c r="B45" s="10"/>
      <c r="C45" s="11"/>
      <c r="D45" s="11"/>
      <c r="E45" s="11"/>
      <c r="F45" s="12"/>
      <c r="G45" s="10"/>
      <c r="H45" s="11"/>
      <c r="I45" s="11"/>
      <c r="J45" s="11"/>
      <c r="K45" s="12"/>
      <c r="L45" s="10"/>
      <c r="M45" s="11"/>
      <c r="N45" s="11"/>
      <c r="O45" s="11"/>
      <c r="P45" s="12"/>
      <c r="Q45" s="10"/>
      <c r="R45" s="11"/>
      <c r="S45" s="11"/>
      <c r="T45" s="11"/>
      <c r="U45" s="12"/>
      <c r="V45" s="10"/>
      <c r="W45" s="11"/>
      <c r="X45" s="11"/>
      <c r="Y45" s="11"/>
      <c r="Z45" s="12"/>
      <c r="AA45" s="26"/>
    </row>
    <row r="46" spans="1:27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17" t="s">
        <v>16</v>
      </c>
      <c r="B48" s="4" t="s">
        <v>1</v>
      </c>
      <c r="C48" s="5" t="s">
        <v>2</v>
      </c>
      <c r="D48" s="5" t="s">
        <v>3</v>
      </c>
      <c r="E48" s="5" t="s">
        <v>18</v>
      </c>
      <c r="F48" s="6" t="s">
        <v>19</v>
      </c>
      <c r="G48" s="4" t="s">
        <v>1</v>
      </c>
      <c r="H48" s="5" t="s">
        <v>2</v>
      </c>
      <c r="I48" s="5" t="s">
        <v>3</v>
      </c>
      <c r="J48" s="5" t="s">
        <v>18</v>
      </c>
      <c r="K48" s="6" t="s">
        <v>19</v>
      </c>
      <c r="L48" s="4" t="s">
        <v>1</v>
      </c>
      <c r="M48" s="5" t="s">
        <v>2</v>
      </c>
      <c r="N48" s="5" t="s">
        <v>3</v>
      </c>
      <c r="O48" s="5" t="s">
        <v>18</v>
      </c>
      <c r="P48" s="6" t="s">
        <v>19</v>
      </c>
      <c r="Q48" s="4" t="s">
        <v>1</v>
      </c>
      <c r="R48" s="5" t="s">
        <v>2</v>
      </c>
      <c r="S48" s="5" t="s">
        <v>3</v>
      </c>
      <c r="T48" s="5" t="s">
        <v>18</v>
      </c>
      <c r="U48" s="6" t="s">
        <v>19</v>
      </c>
      <c r="V48" s="4" t="s">
        <v>1</v>
      </c>
      <c r="W48" s="5" t="s">
        <v>2</v>
      </c>
      <c r="X48" s="5" t="s">
        <v>3</v>
      </c>
      <c r="Y48" s="5" t="s">
        <v>18</v>
      </c>
      <c r="Z48" s="6" t="s">
        <v>19</v>
      </c>
      <c r="AA48" s="2"/>
    </row>
    <row r="49" spans="1:27">
      <c r="A49" s="18" t="s">
        <v>5</v>
      </c>
      <c r="B49" s="14"/>
      <c r="C49" s="14"/>
      <c r="D49" s="14"/>
      <c r="E49" s="14"/>
      <c r="F49" s="15"/>
      <c r="G49" s="13"/>
      <c r="H49" s="14"/>
      <c r="I49" s="14"/>
      <c r="J49" s="14"/>
      <c r="K49" s="15"/>
      <c r="L49" s="13"/>
      <c r="M49" s="14"/>
      <c r="N49" s="14"/>
      <c r="O49" s="14"/>
      <c r="P49" s="15"/>
      <c r="Q49" s="13"/>
      <c r="R49" s="14"/>
      <c r="S49" s="14"/>
      <c r="T49" s="14"/>
      <c r="U49" s="15"/>
      <c r="V49" s="13"/>
      <c r="W49" s="14"/>
      <c r="X49" s="14"/>
      <c r="Y49" s="14"/>
      <c r="Z49" s="15"/>
      <c r="AA49" s="24"/>
    </row>
    <row r="50" spans="1:27">
      <c r="A50" s="18" t="s">
        <v>6</v>
      </c>
      <c r="B50" s="31">
        <v>303</v>
      </c>
      <c r="C50" s="34">
        <v>362</v>
      </c>
      <c r="D50" s="31">
        <v>112</v>
      </c>
      <c r="E50" s="31">
        <v>39</v>
      </c>
      <c r="F50" s="32">
        <v>998</v>
      </c>
      <c r="G50" s="30">
        <v>200</v>
      </c>
      <c r="H50" s="31">
        <v>216</v>
      </c>
      <c r="I50" s="31">
        <v>82</v>
      </c>
      <c r="J50" s="31">
        <v>0</v>
      </c>
      <c r="K50" s="32">
        <v>529</v>
      </c>
      <c r="L50" s="30">
        <v>81</v>
      </c>
      <c r="M50" s="31">
        <v>115</v>
      </c>
      <c r="N50" s="31">
        <v>41</v>
      </c>
      <c r="O50" s="31">
        <v>8</v>
      </c>
      <c r="P50" s="32">
        <v>243</v>
      </c>
      <c r="Q50" s="30">
        <v>40</v>
      </c>
      <c r="R50" s="31">
        <v>7</v>
      </c>
      <c r="S50" s="31">
        <v>13</v>
      </c>
      <c r="T50" s="31">
        <v>0</v>
      </c>
      <c r="U50" s="32">
        <v>120</v>
      </c>
      <c r="V50" s="30">
        <v>0</v>
      </c>
      <c r="W50" s="31">
        <v>0</v>
      </c>
      <c r="X50" s="31">
        <v>0</v>
      </c>
      <c r="Y50" s="31">
        <v>0</v>
      </c>
      <c r="Z50" s="32">
        <v>0</v>
      </c>
      <c r="AA50" s="33">
        <f t="shared" ref="AA50:AA52" si="3">SUM(B50:Z50)</f>
        <v>3509</v>
      </c>
    </row>
    <row r="51" spans="1:27">
      <c r="A51" s="18" t="s">
        <v>7</v>
      </c>
      <c r="B51" s="8"/>
      <c r="C51" s="8"/>
      <c r="D51" s="8"/>
      <c r="E51" s="8"/>
      <c r="F51" s="9"/>
      <c r="G51" s="7"/>
      <c r="H51" s="8"/>
      <c r="I51" s="8"/>
      <c r="J51" s="8"/>
      <c r="K51" s="9"/>
      <c r="L51" s="7"/>
      <c r="M51" s="8"/>
      <c r="N51" s="8"/>
      <c r="O51" s="8"/>
      <c r="P51" s="9"/>
      <c r="Q51" s="7"/>
      <c r="R51" s="8"/>
      <c r="S51" s="8"/>
      <c r="T51" s="8"/>
      <c r="U51" s="9"/>
      <c r="V51" s="7"/>
      <c r="W51" s="8"/>
      <c r="X51" s="8"/>
      <c r="Y51" s="8"/>
      <c r="Z51" s="9"/>
      <c r="AA51" s="25"/>
    </row>
    <row r="52" spans="1:27">
      <c r="A52" s="18" t="s">
        <v>8</v>
      </c>
      <c r="B52" s="31">
        <v>467</v>
      </c>
      <c r="C52" s="31">
        <v>262</v>
      </c>
      <c r="D52" s="31">
        <v>87</v>
      </c>
      <c r="E52" s="31">
        <v>59</v>
      </c>
      <c r="F52" s="32">
        <v>987</v>
      </c>
      <c r="G52" s="30">
        <v>268</v>
      </c>
      <c r="H52" s="31">
        <v>152</v>
      </c>
      <c r="I52" s="31">
        <v>55</v>
      </c>
      <c r="J52" s="31">
        <v>12</v>
      </c>
      <c r="K52" s="32">
        <v>406</v>
      </c>
      <c r="L52" s="30">
        <v>98</v>
      </c>
      <c r="M52" s="31">
        <v>68</v>
      </c>
      <c r="N52" s="31">
        <v>24</v>
      </c>
      <c r="O52" s="31">
        <v>8</v>
      </c>
      <c r="P52" s="32">
        <v>227</v>
      </c>
      <c r="Q52" s="30">
        <v>44</v>
      </c>
      <c r="R52" s="31">
        <v>9</v>
      </c>
      <c r="S52" s="31">
        <v>7</v>
      </c>
      <c r="T52" s="31">
        <v>0</v>
      </c>
      <c r="U52" s="32">
        <v>99</v>
      </c>
      <c r="V52" s="30">
        <v>0</v>
      </c>
      <c r="W52" s="31">
        <v>0</v>
      </c>
      <c r="X52" s="31">
        <v>0</v>
      </c>
      <c r="Y52" s="31">
        <v>0</v>
      </c>
      <c r="Z52" s="32">
        <v>0</v>
      </c>
      <c r="AA52" s="33">
        <f t="shared" si="3"/>
        <v>3339</v>
      </c>
    </row>
    <row r="53" spans="1:27">
      <c r="A53" s="18" t="s">
        <v>9</v>
      </c>
      <c r="B53" s="8"/>
      <c r="C53" s="8"/>
      <c r="D53" s="8"/>
      <c r="E53" s="8"/>
      <c r="F53" s="9"/>
      <c r="G53" s="7"/>
      <c r="H53" s="8"/>
      <c r="I53" s="8"/>
      <c r="J53" s="8"/>
      <c r="K53" s="9"/>
      <c r="L53" s="7"/>
      <c r="M53" s="8"/>
      <c r="N53" s="8"/>
      <c r="O53" s="8"/>
      <c r="P53" s="9"/>
      <c r="Q53" s="7"/>
      <c r="R53" s="8"/>
      <c r="S53" s="8"/>
      <c r="T53" s="8"/>
      <c r="U53" s="9"/>
      <c r="V53" s="7"/>
      <c r="W53" s="8"/>
      <c r="X53" s="8"/>
      <c r="Y53" s="8"/>
      <c r="Z53" s="9"/>
      <c r="AA53" s="25"/>
    </row>
    <row r="54" spans="1:27">
      <c r="A54" s="18" t="s">
        <v>10</v>
      </c>
      <c r="B54" s="8"/>
      <c r="C54" s="8"/>
      <c r="D54" s="8"/>
      <c r="E54" s="8"/>
      <c r="F54" s="9"/>
      <c r="G54" s="7"/>
      <c r="H54" s="8"/>
      <c r="I54" s="8"/>
      <c r="J54" s="8"/>
      <c r="K54" s="9"/>
      <c r="L54" s="7"/>
      <c r="M54" s="8"/>
      <c r="N54" s="8"/>
      <c r="O54" s="8"/>
      <c r="P54" s="9"/>
      <c r="Q54" s="7"/>
      <c r="R54" s="8"/>
      <c r="S54" s="8"/>
      <c r="T54" s="8"/>
      <c r="U54" s="9"/>
      <c r="V54" s="7"/>
      <c r="W54" s="8"/>
      <c r="X54" s="8"/>
      <c r="Y54" s="8"/>
      <c r="Z54" s="9"/>
      <c r="AA54" s="25"/>
    </row>
    <row r="55" spans="1:27">
      <c r="A55" s="18" t="s">
        <v>11</v>
      </c>
      <c r="B55" s="8"/>
      <c r="C55" s="8"/>
      <c r="D55" s="8"/>
      <c r="E55" s="8"/>
      <c r="F55" s="9"/>
      <c r="G55" s="7"/>
      <c r="H55" s="8"/>
      <c r="I55" s="8"/>
      <c r="J55" s="8"/>
      <c r="K55" s="9"/>
      <c r="L55" s="7"/>
      <c r="M55" s="8"/>
      <c r="N55" s="8"/>
      <c r="O55" s="8"/>
      <c r="P55" s="9"/>
      <c r="Q55" s="7"/>
      <c r="R55" s="8"/>
      <c r="S55" s="8"/>
      <c r="T55" s="8"/>
      <c r="U55" s="9"/>
      <c r="V55" s="7"/>
      <c r="W55" s="8"/>
      <c r="X55" s="8"/>
      <c r="Y55" s="8"/>
      <c r="Z55" s="9"/>
      <c r="AA55" s="25"/>
    </row>
    <row r="56" spans="1:27">
      <c r="A56" s="18" t="s">
        <v>12</v>
      </c>
      <c r="B56" s="8"/>
      <c r="C56" s="8"/>
      <c r="D56" s="8"/>
      <c r="E56" s="8"/>
      <c r="F56" s="9"/>
      <c r="G56" s="7"/>
      <c r="H56" s="8"/>
      <c r="I56" s="8"/>
      <c r="J56" s="8"/>
      <c r="K56" s="9"/>
      <c r="L56" s="7"/>
      <c r="M56" s="8"/>
      <c r="N56" s="8"/>
      <c r="O56" s="8"/>
      <c r="P56" s="9"/>
      <c r="Q56" s="7"/>
      <c r="R56" s="8"/>
      <c r="S56" s="8"/>
      <c r="T56" s="8"/>
      <c r="U56" s="9"/>
      <c r="V56" s="7"/>
      <c r="W56" s="8"/>
      <c r="X56" s="8"/>
      <c r="Y56" s="8"/>
      <c r="Z56" s="9"/>
      <c r="AA56" s="25"/>
    </row>
    <row r="57" spans="1:27">
      <c r="A57" s="18" t="s">
        <v>13</v>
      </c>
      <c r="B57" s="8"/>
      <c r="C57" s="8"/>
      <c r="D57" s="8"/>
      <c r="E57" s="8"/>
      <c r="F57" s="9"/>
      <c r="G57" s="7"/>
      <c r="H57" s="8"/>
      <c r="I57" s="8"/>
      <c r="J57" s="8"/>
      <c r="K57" s="9"/>
      <c r="L57" s="7"/>
      <c r="M57" s="8"/>
      <c r="N57" s="8"/>
      <c r="O57" s="8"/>
      <c r="P57" s="9"/>
      <c r="Q57" s="7"/>
      <c r="R57" s="8"/>
      <c r="S57" s="8"/>
      <c r="T57" s="8"/>
      <c r="U57" s="9"/>
      <c r="V57" s="7"/>
      <c r="W57" s="8"/>
      <c r="X57" s="8"/>
      <c r="Y57" s="8"/>
      <c r="Z57" s="9"/>
      <c r="AA57" s="25"/>
    </row>
    <row r="58" spans="1:27">
      <c r="A58" s="18" t="s">
        <v>14</v>
      </c>
      <c r="B58" s="8"/>
      <c r="C58" s="8"/>
      <c r="D58" s="8"/>
      <c r="E58" s="8"/>
      <c r="F58" s="9"/>
      <c r="G58" s="7"/>
      <c r="H58" s="8"/>
      <c r="I58" s="8"/>
      <c r="J58" s="8"/>
      <c r="K58" s="9"/>
      <c r="L58" s="7"/>
      <c r="M58" s="8"/>
      <c r="N58" s="8"/>
      <c r="O58" s="8"/>
      <c r="P58" s="9"/>
      <c r="Q58" s="7"/>
      <c r="R58" s="8"/>
      <c r="S58" s="8"/>
      <c r="T58" s="8"/>
      <c r="U58" s="9"/>
      <c r="V58" s="7"/>
      <c r="W58" s="8"/>
      <c r="X58" s="8"/>
      <c r="Y58" s="8"/>
      <c r="Z58" s="9"/>
      <c r="AA58" s="25"/>
    </row>
    <row r="59" spans="1:27">
      <c r="A59" s="19" t="s">
        <v>15</v>
      </c>
      <c r="B59" s="11"/>
      <c r="C59" s="11"/>
      <c r="D59" s="11"/>
      <c r="E59" s="11"/>
      <c r="F59" s="12"/>
      <c r="G59" s="10"/>
      <c r="H59" s="11"/>
      <c r="I59" s="11"/>
      <c r="J59" s="11"/>
      <c r="K59" s="12"/>
      <c r="L59" s="10"/>
      <c r="M59" s="11"/>
      <c r="N59" s="11"/>
      <c r="O59" s="11"/>
      <c r="P59" s="12"/>
      <c r="Q59" s="10"/>
      <c r="R59" s="11"/>
      <c r="S59" s="11"/>
      <c r="T59" s="11"/>
      <c r="U59" s="12"/>
      <c r="V59" s="10"/>
      <c r="W59" s="11"/>
      <c r="X59" s="11"/>
      <c r="Y59" s="11"/>
      <c r="Z59" s="12"/>
      <c r="AA59" s="26"/>
    </row>
    <row r="61" spans="1:27" ht="15.75">
      <c r="A61" t="s">
        <v>17</v>
      </c>
      <c r="B61" s="27" t="s">
        <v>22</v>
      </c>
      <c r="C61" s="27"/>
      <c r="D61" s="27"/>
      <c r="E61" s="27"/>
      <c r="G61" s="29" t="s">
        <v>21</v>
      </c>
    </row>
  </sheetData>
  <mergeCells count="10">
    <mergeCell ref="L1:O1"/>
    <mergeCell ref="Q1:U1"/>
    <mergeCell ref="V1:Z1"/>
    <mergeCell ref="B1:F1"/>
    <mergeCell ref="G1:K1"/>
    <mergeCell ref="B33:F33"/>
    <mergeCell ref="G33:K33"/>
    <mergeCell ref="L33:O33"/>
    <mergeCell ref="Q33:U33"/>
    <mergeCell ref="V33:Z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New_Analysis_Report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2014-07-21T03:18:52Z</dcterms:created>
  <dcterms:modified xsi:type="dcterms:W3CDTF">2014-07-25T16:58:48Z</dcterms:modified>
</cp:coreProperties>
</file>